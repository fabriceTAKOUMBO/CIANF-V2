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ing Semaines" sheetId="1" state="visible" r:id="rId3"/>
    <sheet name="Résumé par Phase" sheetId="2" state="visible" r:id="rId4"/>
    <sheet name="Checklist Livrab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<sst xmlns="http://schemas.openxmlformats.org/spreadsheetml/2006/main" count="169" uniqueCount="125">
  <si>
    <t xml:space="preserve">PLANNING D'EXÉCUTION — TFE CINAF v2</t>
  </si>
  <si>
    <t xml:space="preserve">Takoumbo Fabrice | ISL | Bachelier Informatique de Gestion | 2025-2026</t>
  </si>
  <si>
    <t xml:space="preserve">Période : 1er avril — 20 juin 2026 | Disponibilité : 10-15h/semaine | ~150h total estimé</t>
  </si>
  <si>
    <t xml:space="preserve">Semaine</t>
  </si>
  <si>
    <t xml:space="preserve">Dates</t>
  </si>
  <si>
    <t xml:space="preserve">Phase</t>
  </si>
  <si>
    <t xml:space="preserve">Tâches principales</t>
  </si>
  <si>
    <t xml:space="preserve">Livrables</t>
  </si>
  <si>
    <t xml:space="preserve">Heures est.</t>
  </si>
  <si>
    <t xml:space="preserve">Statut</t>
  </si>
  <si>
    <t xml:space="preserve">S1</t>
  </si>
  <si>
    <t xml:space="preserve">01/04 — 05/04</t>
  </si>
  <si>
    <t xml:space="preserve">Analyse</t>
  </si>
  <si>
    <t xml:space="preserve">• Diagrammes de séquence UML (flux critiques : inscription, souscription abonnement, lecture vidéo, publication contenu)
• Modèle Entité-Association (MER/MEA)</t>
  </si>
  <si>
    <t xml:space="preserve">Diagrammes séquence UML
Modèle EA</t>
  </si>
  <si>
    <t xml:space="preserve">À faire</t>
  </si>
  <si>
    <t xml:space="preserve">S2</t>
  </si>
  <si>
    <t xml:space="preserve">06/04 — 12/04</t>
  </si>
  <si>
    <t xml:space="preserve">• Maquettes UI/UX wireframes (pages : accueil, catalogue, lecteur, profil, studio)
• Finalisation du dossier d'analyse complet</t>
  </si>
  <si>
    <t xml:space="preserve">Wireframes (Figma/draw.io)
Dossier analyse finalisé</t>
  </si>
  <si>
    <t xml:space="preserve">S3</t>
  </si>
  <si>
    <t xml:space="preserve">13/04 — 19/04</t>
  </si>
  <si>
    <t xml:space="preserve">Dev Backend</t>
  </si>
  <si>
    <t xml:space="preserve">• Mise en place environnement Docker (PHP/Symfony, MySQL, Nginx)
• Init projet Symfony 7 + API-Platform
• Configuration JWT + entités User/Profil</t>
  </si>
  <si>
    <t xml:space="preserve">Environnement Docker
Projet Symfony initialisé</t>
  </si>
  <si>
    <t xml:space="preserve">S4</t>
  </si>
  <si>
    <t xml:space="preserve">20/04 — 26/04</t>
  </si>
  <si>
    <t xml:space="preserve">• Module Authentification (inscription, connexion, reset MDP, gestion profil, suppression RGPD)
• Tests unitaires auth</t>
  </si>
  <si>
    <t xml:space="preserve">API Auth fonctionnelle
Tests auth</t>
  </si>
  <si>
    <t xml:space="preserve">S5</t>
  </si>
  <si>
    <t xml:space="preserve">27/04 — 03/05</t>
  </si>
  <si>
    <t xml:space="preserve">• Module Abonnement &amp; Paiement (intégration Stripe : souscription, renouvellement, résiliation, changement plan)
• Module TVOD (achat/location unitaire)</t>
  </si>
  <si>
    <t xml:space="preserve">API Abonnement + TVOD
Intégration Stripe</t>
  </si>
  <si>
    <t xml:space="preserve">S6</t>
  </si>
  <si>
    <t xml:space="preserve">04/05 — 10/05</t>
  </si>
  <si>
    <t xml:space="preserve">• Module Catalogue (recherche, fiche contenu, favoris, notation/commentaires)
• Module Studio de Production (création studio, publication, gestion épisodes)</t>
  </si>
  <si>
    <t xml:space="preserve">API Catalogue + Studio</t>
  </si>
  <si>
    <t xml:space="preserve">S7</t>
  </si>
  <si>
    <t xml:space="preserve">11/05 — 17/05</t>
  </si>
  <si>
    <t xml:space="preserve">• Module Lecteur Vidéo (lancement, reprise lecture, signalement) + intégration Bunny.net
• Module Modération + Administration
• Tests unitaires globaux backend</t>
  </si>
  <si>
    <t xml:space="preserve">API complète
Tests backend</t>
  </si>
  <si>
    <t xml:space="preserve">S8</t>
  </si>
  <si>
    <t xml:space="preserve">18/05 — 24/05</t>
  </si>
  <si>
    <t xml:space="preserve">Dev Frontend</t>
  </si>
  <si>
    <t xml:space="preserve">• Init projet Next.js 14 + Bootstrap 5
• Pages Authentification (inscription, connexion, profil)
• Pages Catalogue (accueil, recherche, fiche contenu)</t>
  </si>
  <si>
    <t xml:space="preserve">Frontend auth + catalogue</t>
  </si>
  <si>
    <t xml:space="preserve">S9</t>
  </si>
  <si>
    <t xml:space="preserve">25/05 — 31/05</t>
  </si>
  <si>
    <t xml:space="preserve">• Page Lecteur Vidéo (intégration Bunny.net player)
• Pages Abonnement (choix plan, paiement Stripe, gestion)
• Pages Studio de Production (dashboard créateur, upload)</t>
  </si>
  <si>
    <t xml:space="preserve">Frontend lecteur + abo + studio</t>
  </si>
  <si>
    <t xml:space="preserve">S10</t>
  </si>
  <si>
    <t xml:space="preserve">01/06 — 07/06</t>
  </si>
  <si>
    <t xml:space="preserve">Tests</t>
  </si>
  <si>
    <t xml:space="preserve">• Tests d'intégration frontend/backend
• Corrections de bugs
• Tests de parcours utilisateur complets
• Vérification conformité RGPD</t>
  </si>
  <si>
    <t xml:space="preserve">Application testée
Rapport de tests</t>
  </si>
  <si>
    <t xml:space="preserve">S11</t>
  </si>
  <si>
    <t xml:space="preserve">08/06 — 14/06</t>
  </si>
  <si>
    <t xml:space="preserve">Rapport</t>
  </si>
  <si>
    <t xml:space="preserve">• Rédaction du rapport final TFE (introduction, analyse, conception, implémentation, conclusion)
• Captures d'écran de l'application
• Mise en page et relecture</t>
  </si>
  <si>
    <t xml:space="preserve">Rapport TFE (brouillon final)</t>
  </si>
  <si>
    <t xml:space="preserve">S12</t>
  </si>
  <si>
    <t xml:space="preserve">15/06 — 20/06</t>
  </si>
  <si>
    <t xml:space="preserve">Buffer</t>
  </si>
  <si>
    <t xml:space="preserve">• Finalisation et relecture du rapport
• Corrections dernière minute (code ou rapport)
• Impression / soumission du rapport</t>
  </si>
  <si>
    <t xml:space="preserve">Rapport TFE soumis
Code source final</t>
  </si>
  <si>
    <t xml:space="preserve">TOTAL ESTIMÉ</t>
  </si>
  <si>
    <t xml:space="preserve">RÉPARTITION PAR PHASE</t>
  </si>
  <si>
    <t xml:space="preserve">Semaines</t>
  </si>
  <si>
    <t xml:space="preserve">Heures estimées</t>
  </si>
  <si>
    <t xml:space="preserve">% du total</t>
  </si>
  <si>
    <t xml:space="preserve">Analyse &amp; Conception</t>
  </si>
  <si>
    <t xml:space="preserve">S1 — S2</t>
  </si>
  <si>
    <t xml:space="preserve">Développement Backend</t>
  </si>
  <si>
    <t xml:space="preserve">S3 — S7</t>
  </si>
  <si>
    <t xml:space="preserve">Développement Frontend</t>
  </si>
  <si>
    <t xml:space="preserve">S8 — S9</t>
  </si>
  <si>
    <t xml:space="preserve">Tests &amp; Intégration</t>
  </si>
  <si>
    <t xml:space="preserve">Rédaction Rapport</t>
  </si>
  <si>
    <t xml:space="preserve">Buffer / Finalisation</t>
  </si>
  <si>
    <t xml:space="preserve">TOTAL</t>
  </si>
  <si>
    <t xml:space="preserve">CHECKLIST DES LIVRABLES TFE</t>
  </si>
  <si>
    <t xml:space="preserve">Livrable</t>
  </si>
  <si>
    <t xml:space="preserve">Échéance</t>
  </si>
  <si>
    <t xml:space="preserve">Remarques</t>
  </si>
  <si>
    <t xml:space="preserve">Proposition TFE</t>
  </si>
  <si>
    <t xml:space="preserve">—</t>
  </si>
  <si>
    <t xml:space="preserve">✅ Terminé</t>
  </si>
  <si>
    <t xml:space="preserve">Soumis</t>
  </si>
  <si>
    <t xml:space="preserve">Cahier des charges</t>
  </si>
  <si>
    <t xml:space="preserve">v2 complète</t>
  </si>
  <si>
    <t xml:space="preserve">Dossier d'analyse</t>
  </si>
  <si>
    <t xml:space="preserve">Adapté du stage</t>
  </si>
  <si>
    <t xml:space="preserve">Diagrammes BPMN (28)</t>
  </si>
  <si>
    <t xml:space="preserve">7 modules couverts</t>
  </si>
  <si>
    <t xml:space="preserve">Diagrammes UML Use Case (8)</t>
  </si>
  <si>
    <t xml:space="preserve">Avec fichiers .puml</t>
  </si>
  <si>
    <t xml:space="preserve">Diagrammes UML Classes (7)</t>
  </si>
  <si>
    <t xml:space="preserve">Schéma BDD (ERD)</t>
  </si>
  <si>
    <t xml:space="preserve">Haute résolution</t>
  </si>
  <si>
    <t xml:space="preserve">Diagrammes de séquence UML</t>
  </si>
  <si>
    <t xml:space="preserve">05/04</t>
  </si>
  <si>
    <t xml:space="preserve">⬜ À faire</t>
  </si>
  <si>
    <t xml:space="preserve">Flux critiques</t>
  </si>
  <si>
    <t xml:space="preserve">Modèle Entité-Association</t>
  </si>
  <si>
    <t xml:space="preserve">Maquettes UI/UX (wireframes)</t>
  </si>
  <si>
    <t xml:space="preserve">12/04</t>
  </si>
  <si>
    <t xml:space="preserve">Figma ou draw.io</t>
  </si>
  <si>
    <t xml:space="preserve">Environnement Docker</t>
  </si>
  <si>
    <t xml:space="preserve">19/04</t>
  </si>
  <si>
    <t xml:space="preserve">PHP, MySQL, Nginx</t>
  </si>
  <si>
    <t xml:space="preserve">Backend Symfony complet</t>
  </si>
  <si>
    <t xml:space="preserve">17/05</t>
  </si>
  <si>
    <t xml:space="preserve">7 modules API</t>
  </si>
  <si>
    <t xml:space="preserve">Frontend Next.js complet</t>
  </si>
  <si>
    <t xml:space="preserve">31/05</t>
  </si>
  <si>
    <t xml:space="preserve">Toutes les pages</t>
  </si>
  <si>
    <t xml:space="preserve">Tests d'intégration</t>
  </si>
  <si>
    <t xml:space="preserve">07/06</t>
  </si>
  <si>
    <t xml:space="preserve">Frontend + Backend</t>
  </si>
  <si>
    <t xml:space="preserve">Rapport final TFE</t>
  </si>
  <si>
    <t xml:space="preserve">14/06</t>
  </si>
  <si>
    <t xml:space="preserve">Document complet</t>
  </si>
  <si>
    <t xml:space="preserve">Soumission finale</t>
  </si>
  <si>
    <t xml:space="preserve">20/06</t>
  </si>
  <si>
    <t xml:space="preserve">Impression + dépôt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</si>
</sst>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4DFE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6E4F0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/>
      <right/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35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</row>
    <row r="5" customFormat="false" ht="24.7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84.75" hidden="false" customHeight="true" outlineLevel="0" collapsed="false">
      <c r="A6" s="4" t="s">
        <v>10</v>
      </c>
      <c r="B6" s="5" t="s">
        <v>11</v>
      </c>
      <c r="C6" s="6" t="s">
        <v>12</v>
      </c>
      <c r="D6" s="7" t="s">
        <v>13</v>
      </c>
      <c r="E6" s="7" t="s">
        <v>14</v>
      </c>
      <c r="F6" s="4" t="n">
        <v>12</v>
      </c>
      <c r="G6" s="5" t="s">
        <v>15</v>
      </c>
    </row>
    <row r="7" customFormat="false" ht="84.75" hidden="false" customHeight="true" outlineLevel="0" collapsed="false">
      <c r="A7" s="4" t="s">
        <v>16</v>
      </c>
      <c r="B7" s="5" t="s">
        <v>17</v>
      </c>
      <c r="C7" s="6" t="s">
        <v>12</v>
      </c>
      <c r="D7" s="7" t="s">
        <v>18</v>
      </c>
      <c r="E7" s="7" t="s">
        <v>19</v>
      </c>
      <c r="F7" s="4" t="n">
        <v>12</v>
      </c>
      <c r="G7" s="5" t="s">
        <v>15</v>
      </c>
    </row>
    <row r="8" customFormat="false" ht="84.75" hidden="false" customHeight="true" outlineLevel="0" collapsed="false">
      <c r="A8" s="8" t="s">
        <v>20</v>
      </c>
      <c r="B8" s="9" t="s">
        <v>21</v>
      </c>
      <c r="C8" s="10" t="s">
        <v>22</v>
      </c>
      <c r="D8" s="11" t="s">
        <v>23</v>
      </c>
      <c r="E8" s="11" t="s">
        <v>24</v>
      </c>
      <c r="F8" s="8" t="n">
        <v>12</v>
      </c>
      <c r="G8" s="9" t="s">
        <v>15</v>
      </c>
    </row>
    <row r="9" customFormat="false" ht="84.75" hidden="false" customHeight="true" outlineLevel="0" collapsed="false">
      <c r="A9" s="8" t="s">
        <v>25</v>
      </c>
      <c r="B9" s="9" t="s">
        <v>26</v>
      </c>
      <c r="C9" s="10" t="s">
        <v>22</v>
      </c>
      <c r="D9" s="11" t="s">
        <v>27</v>
      </c>
      <c r="E9" s="11" t="s">
        <v>28</v>
      </c>
      <c r="F9" s="8" t="n">
        <v>14</v>
      </c>
      <c r="G9" s="9" t="s">
        <v>15</v>
      </c>
    </row>
    <row r="10" customFormat="false" ht="84.75" hidden="false" customHeight="true" outlineLevel="0" collapsed="false">
      <c r="A10" s="8" t="s">
        <v>29</v>
      </c>
      <c r="B10" s="9" t="s">
        <v>30</v>
      </c>
      <c r="C10" s="10" t="s">
        <v>22</v>
      </c>
      <c r="D10" s="11" t="s">
        <v>31</v>
      </c>
      <c r="E10" s="11" t="s">
        <v>32</v>
      </c>
      <c r="F10" s="8" t="n">
        <v>14</v>
      </c>
      <c r="G10" s="9" t="s">
        <v>15</v>
      </c>
    </row>
    <row r="11" customFormat="false" ht="84.75" hidden="false" customHeight="true" outlineLevel="0" collapsed="false">
      <c r="A11" s="8" t="s">
        <v>33</v>
      </c>
      <c r="B11" s="9" t="s">
        <v>34</v>
      </c>
      <c r="C11" s="10" t="s">
        <v>22</v>
      </c>
      <c r="D11" s="11" t="s">
        <v>35</v>
      </c>
      <c r="E11" s="11" t="s">
        <v>36</v>
      </c>
      <c r="F11" s="8" t="n">
        <v>14</v>
      </c>
      <c r="G11" s="9" t="s">
        <v>15</v>
      </c>
    </row>
    <row r="12" customFormat="false" ht="84.75" hidden="false" customHeight="true" outlineLevel="0" collapsed="false">
      <c r="A12" s="8" t="s">
        <v>37</v>
      </c>
      <c r="B12" s="9" t="s">
        <v>38</v>
      </c>
      <c r="C12" s="10" t="s">
        <v>22</v>
      </c>
      <c r="D12" s="11" t="s">
        <v>39</v>
      </c>
      <c r="E12" s="11" t="s">
        <v>40</v>
      </c>
      <c r="F12" s="8" t="n">
        <v>14</v>
      </c>
      <c r="G12" s="9" t="s">
        <v>15</v>
      </c>
    </row>
    <row r="13" customFormat="false" ht="84.75" hidden="false" customHeight="true" outlineLevel="0" collapsed="false">
      <c r="A13" s="12" t="s">
        <v>41</v>
      </c>
      <c r="B13" s="13" t="s">
        <v>42</v>
      </c>
      <c r="C13" s="14" t="s">
        <v>43</v>
      </c>
      <c r="D13" s="15" t="s">
        <v>44</v>
      </c>
      <c r="E13" s="15" t="s">
        <v>45</v>
      </c>
      <c r="F13" s="12" t="n">
        <v>14</v>
      </c>
      <c r="G13" s="13" t="s">
        <v>15</v>
      </c>
    </row>
    <row r="14" customFormat="false" ht="84.75" hidden="false" customHeight="true" outlineLevel="0" collapsed="false">
      <c r="A14" s="12" t="s">
        <v>46</v>
      </c>
      <c r="B14" s="13" t="s">
        <v>47</v>
      </c>
      <c r="C14" s="14" t="s">
        <v>43</v>
      </c>
      <c r="D14" s="15" t="s">
        <v>48</v>
      </c>
      <c r="E14" s="15" t="s">
        <v>49</v>
      </c>
      <c r="F14" s="12" t="n">
        <v>14</v>
      </c>
      <c r="G14" s="13" t="s">
        <v>15</v>
      </c>
    </row>
    <row r="15" customFormat="false" ht="84.75" hidden="false" customHeight="true" outlineLevel="0" collapsed="false">
      <c r="A15" s="16" t="s">
        <v>50</v>
      </c>
      <c r="B15" s="17" t="s">
        <v>51</v>
      </c>
      <c r="C15" s="18" t="s">
        <v>52</v>
      </c>
      <c r="D15" s="19" t="s">
        <v>53</v>
      </c>
      <c r="E15" s="19" t="s">
        <v>54</v>
      </c>
      <c r="F15" s="16" t="n">
        <v>12</v>
      </c>
      <c r="G15" s="17" t="s">
        <v>15</v>
      </c>
    </row>
    <row r="16" customFormat="false" ht="84.75" hidden="false" customHeight="true" outlineLevel="0" collapsed="false">
      <c r="A16" s="20" t="s">
        <v>55</v>
      </c>
      <c r="B16" s="21" t="s">
        <v>56</v>
      </c>
      <c r="C16" s="22" t="s">
        <v>57</v>
      </c>
      <c r="D16" s="23" t="s">
        <v>58</v>
      </c>
      <c r="E16" s="23" t="s">
        <v>59</v>
      </c>
      <c r="F16" s="20" t="n">
        <v>14</v>
      </c>
      <c r="G16" s="21" t="s">
        <v>15</v>
      </c>
    </row>
    <row r="17" customFormat="false" ht="84.75" hidden="false" customHeight="true" outlineLevel="0" collapsed="false">
      <c r="A17" s="24" t="s">
        <v>60</v>
      </c>
      <c r="B17" s="25" t="s">
        <v>61</v>
      </c>
      <c r="C17" s="26" t="s">
        <v>62</v>
      </c>
      <c r="D17" s="27" t="s">
        <v>63</v>
      </c>
      <c r="E17" s="27" t="s">
        <v>64</v>
      </c>
      <c r="F17" s="24" t="n">
        <v>10</v>
      </c>
      <c r="G17" s="25" t="s">
        <v>15</v>
      </c>
    </row>
    <row r="18" customFormat="false" ht="30" hidden="false" customHeight="true" outlineLevel="0" collapsed="false">
      <c r="A18" s="28" t="s">
        <v>65</v>
      </c>
      <c r="B18" s="28"/>
      <c r="C18" s="28"/>
      <c r="D18" s="28"/>
      <c r="E18" s="28"/>
      <c r="F18" s="29" t="n">
        <f aca="false">SUM(F6:F17)</f>
        <v>156</v>
      </c>
      <c r="G18" s="30"/>
    </row>
  </sheetData>
  <mergeCells count="4">
    <mergeCell ref="A1:G1"/>
    <mergeCell ref="A2:G2"/>
    <mergeCell ref="A3:G3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8"/>
    <col collapsed="false" customWidth="true" hidden="false" outlineLevel="0" max="4" min="4" style="0" width="15"/>
  </cols>
  <sheetData>
    <row r="1" customFormat="false" ht="34.5" hidden="false" customHeight="true" outlineLevel="0" collapsed="false">
      <c r="A1" s="31" t="s">
        <v>66</v>
      </c>
      <c r="B1" s="31"/>
      <c r="C1" s="31"/>
      <c r="D1" s="31"/>
    </row>
    <row r="3" customFormat="false" ht="15" hidden="false" customHeight="false" outlineLevel="0" collapsed="false">
      <c r="A3" s="32" t="s">
        <v>5</v>
      </c>
      <c r="B3" s="32" t="s">
        <v>67</v>
      </c>
      <c r="C3" s="32" t="s">
        <v>68</v>
      </c>
      <c r="D3" s="32" t="s">
        <v>69</v>
      </c>
    </row>
    <row r="4" customFormat="false" ht="24.75" hidden="false" customHeight="true" outlineLevel="0" collapsed="false">
      <c r="A4" s="33" t="s">
        <v>70</v>
      </c>
      <c r="B4" s="34" t="s">
        <v>71</v>
      </c>
      <c r="C4" s="35" t="n">
        <v>24</v>
      </c>
      <c r="D4" s="36" t="n">
        <f aca="false">C4/C10</f>
        <v>0.153846153846154</v>
      </c>
    </row>
    <row r="5" customFormat="false" ht="24.75" hidden="false" customHeight="true" outlineLevel="0" collapsed="false">
      <c r="A5" s="33" t="s">
        <v>72</v>
      </c>
      <c r="B5" s="34" t="s">
        <v>73</v>
      </c>
      <c r="C5" s="35" t="n">
        <v>68</v>
      </c>
      <c r="D5" s="36" t="n">
        <f aca="false">C5/C10</f>
        <v>0.435897435897436</v>
      </c>
    </row>
    <row r="6" customFormat="false" ht="24.75" hidden="false" customHeight="true" outlineLevel="0" collapsed="false">
      <c r="A6" s="33" t="s">
        <v>74</v>
      </c>
      <c r="B6" s="34" t="s">
        <v>75</v>
      </c>
      <c r="C6" s="35" t="n">
        <v>28</v>
      </c>
      <c r="D6" s="36" t="n">
        <f aca="false">C6/C10</f>
        <v>0.17948717948718</v>
      </c>
    </row>
    <row r="7" customFormat="false" ht="24.75" hidden="false" customHeight="true" outlineLevel="0" collapsed="false">
      <c r="A7" s="33" t="s">
        <v>76</v>
      </c>
      <c r="B7" s="34" t="s">
        <v>50</v>
      </c>
      <c r="C7" s="35" t="n">
        <v>12</v>
      </c>
      <c r="D7" s="36" t="n">
        <f aca="false">C7/C10</f>
        <v>0.0769230769230769</v>
      </c>
    </row>
    <row r="8" customFormat="false" ht="24.75" hidden="false" customHeight="true" outlineLevel="0" collapsed="false">
      <c r="A8" s="33" t="s">
        <v>77</v>
      </c>
      <c r="B8" s="34" t="s">
        <v>55</v>
      </c>
      <c r="C8" s="35" t="n">
        <v>14</v>
      </c>
      <c r="D8" s="36" t="n">
        <f aca="false">C8/C10</f>
        <v>0.0897435897435897</v>
      </c>
    </row>
    <row r="9" customFormat="false" ht="24.75" hidden="false" customHeight="true" outlineLevel="0" collapsed="false">
      <c r="A9" s="33" t="s">
        <v>78</v>
      </c>
      <c r="B9" s="34" t="s">
        <v>60</v>
      </c>
      <c r="C9" s="35" t="n">
        <v>10</v>
      </c>
      <c r="D9" s="36" t="n">
        <f aca="false">C9/C10</f>
        <v>0.0641025641025641</v>
      </c>
    </row>
    <row r="10" customFormat="false" ht="15" hidden="false" customHeight="false" outlineLevel="0" collapsed="false">
      <c r="A10" s="29" t="s">
        <v>79</v>
      </c>
      <c r="B10" s="37"/>
      <c r="C10" s="29" t="n">
        <f aca="false">SUM(C4:C9)</f>
        <v>156</v>
      </c>
      <c r="D10" s="38" t="n">
        <f aca="false">SUM(D4:D9)</f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5"/>
  </cols>
  <sheetData>
    <row r="1" customFormat="false" ht="34.5" hidden="false" customHeight="true" outlineLevel="0" collapsed="false">
      <c r="A1" s="31" t="s">
        <v>80</v>
      </c>
      <c r="B1" s="31"/>
      <c r="C1" s="31"/>
      <c r="D1" s="31"/>
    </row>
    <row r="3" customFormat="false" ht="15" hidden="false" customHeight="false" outlineLevel="0" collapsed="false">
      <c r="A3" s="32" t="s">
        <v>81</v>
      </c>
      <c r="B3" s="32" t="s">
        <v>82</v>
      </c>
      <c r="C3" s="32" t="s">
        <v>9</v>
      </c>
      <c r="D3" s="32" t="s">
        <v>83</v>
      </c>
    </row>
    <row r="4" customFormat="false" ht="21.75" hidden="false" customHeight="true" outlineLevel="0" collapsed="false">
      <c r="A4" s="39" t="s">
        <v>84</v>
      </c>
      <c r="B4" s="40" t="s">
        <v>85</v>
      </c>
      <c r="C4" s="41" t="s">
        <v>86</v>
      </c>
      <c r="D4" s="42" t="s">
        <v>87</v>
      </c>
    </row>
    <row r="5" customFormat="false" ht="21.75" hidden="false" customHeight="true" outlineLevel="0" collapsed="false">
      <c r="A5" s="39" t="s">
        <v>88</v>
      </c>
      <c r="B5" s="40" t="s">
        <v>85</v>
      </c>
      <c r="C5" s="41" t="s">
        <v>86</v>
      </c>
      <c r="D5" s="42" t="s">
        <v>89</v>
      </c>
    </row>
    <row r="6" customFormat="false" ht="21.75" hidden="false" customHeight="true" outlineLevel="0" collapsed="false">
      <c r="A6" s="39" t="s">
        <v>90</v>
      </c>
      <c r="B6" s="40" t="s">
        <v>85</v>
      </c>
      <c r="C6" s="41" t="s">
        <v>86</v>
      </c>
      <c r="D6" s="42" t="s">
        <v>91</v>
      </c>
    </row>
    <row r="7" customFormat="false" ht="21.75" hidden="false" customHeight="true" outlineLevel="0" collapsed="false">
      <c r="A7" s="39" t="s">
        <v>92</v>
      </c>
      <c r="B7" s="40" t="s">
        <v>85</v>
      </c>
      <c r="C7" s="41" t="s">
        <v>86</v>
      </c>
      <c r="D7" s="42" t="s">
        <v>93</v>
      </c>
    </row>
    <row r="8" customFormat="false" ht="21.75" hidden="false" customHeight="true" outlineLevel="0" collapsed="false">
      <c r="A8" s="39" t="s">
        <v>94</v>
      </c>
      <c r="B8" s="40" t="s">
        <v>85</v>
      </c>
      <c r="C8" s="41" t="s">
        <v>86</v>
      </c>
      <c r="D8" s="42" t="s">
        <v>95</v>
      </c>
    </row>
    <row r="9" customFormat="false" ht="21.75" hidden="false" customHeight="true" outlineLevel="0" collapsed="false">
      <c r="A9" s="39" t="s">
        <v>96</v>
      </c>
      <c r="B9" s="40" t="s">
        <v>85</v>
      </c>
      <c r="C9" s="41" t="s">
        <v>86</v>
      </c>
      <c r="D9" s="42" t="s">
        <v>95</v>
      </c>
    </row>
    <row r="10" customFormat="false" ht="21.75" hidden="false" customHeight="true" outlineLevel="0" collapsed="false">
      <c r="A10" s="39" t="s">
        <v>97</v>
      </c>
      <c r="B10" s="40" t="s">
        <v>85</v>
      </c>
      <c r="C10" s="41" t="s">
        <v>86</v>
      </c>
      <c r="D10" s="42" t="s">
        <v>98</v>
      </c>
    </row>
    <row r="11" customFormat="false" ht="21.75" hidden="false" customHeight="true" outlineLevel="0" collapsed="false">
      <c r="A11" s="43" t="s">
        <v>99</v>
      </c>
      <c r="B11" s="44" t="s">
        <v>100</v>
      </c>
      <c r="C11" s="45" t="s">
        <v>101</v>
      </c>
      <c r="D11" s="46" t="s">
        <v>102</v>
      </c>
    </row>
    <row r="12" customFormat="false" ht="21.75" hidden="false" customHeight="true" outlineLevel="0" collapsed="false">
      <c r="A12" s="43" t="s">
        <v>103</v>
      </c>
      <c r="B12" s="44" t="s">
        <v>100</v>
      </c>
      <c r="C12" s="45" t="s">
        <v>101</v>
      </c>
      <c r="D12" s="46"/>
    </row>
    <row r="13" customFormat="false" ht="21.75" hidden="false" customHeight="true" outlineLevel="0" collapsed="false">
      <c r="A13" s="43" t="s">
        <v>104</v>
      </c>
      <c r="B13" s="44" t="s">
        <v>105</v>
      </c>
      <c r="C13" s="45" t="s">
        <v>101</v>
      </c>
      <c r="D13" s="46" t="s">
        <v>106</v>
      </c>
    </row>
    <row r="14" customFormat="false" ht="21.75" hidden="false" customHeight="true" outlineLevel="0" collapsed="false">
      <c r="A14" s="43" t="s">
        <v>107</v>
      </c>
      <c r="B14" s="44" t="s">
        <v>108</v>
      </c>
      <c r="C14" s="45" t="s">
        <v>101</v>
      </c>
      <c r="D14" s="46" t="s">
        <v>109</v>
      </c>
    </row>
    <row r="15" customFormat="false" ht="21.75" hidden="false" customHeight="true" outlineLevel="0" collapsed="false">
      <c r="A15" s="43" t="s">
        <v>110</v>
      </c>
      <c r="B15" s="44" t="s">
        <v>111</v>
      </c>
      <c r="C15" s="45" t="s">
        <v>101</v>
      </c>
      <c r="D15" s="46" t="s">
        <v>112</v>
      </c>
    </row>
    <row r="16" customFormat="false" ht="21.75" hidden="false" customHeight="true" outlineLevel="0" collapsed="false">
      <c r="A16" s="43" t="s">
        <v>113</v>
      </c>
      <c r="B16" s="44" t="s">
        <v>114</v>
      </c>
      <c r="C16" s="45" t="s">
        <v>101</v>
      </c>
      <c r="D16" s="46" t="s">
        <v>115</v>
      </c>
    </row>
    <row r="17" customFormat="false" ht="21.75" hidden="false" customHeight="true" outlineLevel="0" collapsed="false">
      <c r="A17" s="43" t="s">
        <v>116</v>
      </c>
      <c r="B17" s="44" t="s">
        <v>117</v>
      </c>
      <c r="C17" s="45" t="s">
        <v>101</v>
      </c>
      <c r="D17" s="46" t="s">
        <v>118</v>
      </c>
    </row>
    <row r="18" customFormat="false" ht="21.75" hidden="false" customHeight="true" outlineLevel="0" collapsed="false">
      <c r="A18" s="43" t="s">
        <v>119</v>
      </c>
      <c r="B18" s="44" t="s">
        <v>120</v>
      </c>
      <c r="C18" s="45" t="s">
        <v>101</v>
      </c>
      <c r="D18" s="46" t="s">
        <v>121</v>
      </c>
    </row>
    <row r="19" customFormat="false" ht="21.75" hidden="false" customHeight="true" outlineLevel="0" collapsed="false">
      <c r="A19" s="43" t="s">
        <v>122</v>
      </c>
      <c r="B19" s="44" t="s">
        <v>123</v>
      </c>
      <c r="C19" s="45" t="s">
        <v>101</v>
      </c>
      <c r="D19" s="46" t="s">
        <v>124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2026-04-01T04:34:38Z</dcterms:created>
  <dc:creator>openpyxl</dc:creator>
  <dc:description/>
  <dc:language>en-US</dc:language>
  <cp:lastModifiedBy/>
  <dcterms:modified xsi:type="dcterms:W3CDTF">2026-04-01T04:34:38Z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